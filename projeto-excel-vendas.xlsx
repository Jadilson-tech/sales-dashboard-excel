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sta Excell Jadilson\"/>
    </mc:Choice>
  </mc:AlternateContent>
  <xr:revisionPtr revIDLastSave="0" documentId="13_ncr:1_{FBF7075D-1720-425F-885A-F55B300ADB5A}" xr6:coauthVersionLast="47" xr6:coauthVersionMax="47" xr10:uidLastSave="{00000000-0000-0000-0000-000000000000}"/>
  <bookViews>
    <workbookView xWindow="-120" yWindow="-120" windowWidth="29040" windowHeight="15720" activeTab="2" xr2:uid="{F1F34965-58B4-45D3-893C-DD68C24AB409}"/>
  </bookViews>
  <sheets>
    <sheet name="Colaboradores" sheetId="1" r:id="rId1"/>
    <sheet name="Dashboard" sheetId="3" r:id="rId2"/>
    <sheet name="Vendas" sheetId="2" r:id="rId3"/>
  </sheets>
  <definedNames>
    <definedName name="SegmentaçãodeDados_Categoria">#N/A</definedName>
    <definedName name="SegmentaçãodeDados_Data">#N/A</definedName>
    <definedName name="SegmentaçãodeDados_Nome_Colaborador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</calcChain>
</file>

<file path=xl/sharedStrings.xml><?xml version="1.0" encoding="utf-8"?>
<sst xmlns="http://schemas.openxmlformats.org/spreadsheetml/2006/main" count="166" uniqueCount="82">
  <si>
    <t>ID_Colaborador</t>
  </si>
  <si>
    <t>Nome</t>
  </si>
  <si>
    <t>Setor</t>
  </si>
  <si>
    <t>Cargo</t>
  </si>
  <si>
    <t>Data_Admissao</t>
  </si>
  <si>
    <t>Salario_Base</t>
  </si>
  <si>
    <t>Status</t>
  </si>
  <si>
    <t>Ana Silva</t>
  </si>
  <si>
    <t>Vendas</t>
  </si>
  <si>
    <t>Vendedora</t>
  </si>
  <si>
    <t>Ativo</t>
  </si>
  <si>
    <t>Bruno Souza</t>
  </si>
  <si>
    <t>Caixa</t>
  </si>
  <si>
    <t>Operador de Caixa</t>
  </si>
  <si>
    <t>Carlos Lima</t>
  </si>
  <si>
    <t>Estoque</t>
  </si>
  <si>
    <t>Auxiliar de Estoque</t>
  </si>
  <si>
    <t>Daniela Rocha</t>
  </si>
  <si>
    <t>Eduardo Santos</t>
  </si>
  <si>
    <t>Administração</t>
  </si>
  <si>
    <t>Assistente Adm</t>
  </si>
  <si>
    <t>Fernanda Alves</t>
  </si>
  <si>
    <t>Gustavo Pereira</t>
  </si>
  <si>
    <t>Estoquista</t>
  </si>
  <si>
    <t>Helena Costa</t>
  </si>
  <si>
    <t>Operadora de Caixa</t>
  </si>
  <si>
    <t>Igor Martins</t>
  </si>
  <si>
    <t>Vendedor</t>
  </si>
  <si>
    <t>Juliana Mendes</t>
  </si>
  <si>
    <t>Analista Adm</t>
  </si>
  <si>
    <t>Kleber Rocha</t>
  </si>
  <si>
    <t>Larissa Gomes</t>
  </si>
  <si>
    <t>Marcos Ribeiro</t>
  </si>
  <si>
    <t>Natalia Barros</t>
  </si>
  <si>
    <t>Otavio Ferreira</t>
  </si>
  <si>
    <t>Supervisor</t>
  </si>
  <si>
    <t>Patricia Lima</t>
  </si>
  <si>
    <t>Quintino Alves</t>
  </si>
  <si>
    <t>Rafaela Nunes</t>
  </si>
  <si>
    <t>Samuel Dias</t>
  </si>
  <si>
    <t>Tatiane Souza</t>
  </si>
  <si>
    <t>ID_Venda</t>
  </si>
  <si>
    <t>Data</t>
  </si>
  <si>
    <t>Produto</t>
  </si>
  <si>
    <t>Categoria</t>
  </si>
  <si>
    <t>Quantidade</t>
  </si>
  <si>
    <t>Valor_Unitario</t>
  </si>
  <si>
    <t>Teclado Gamer</t>
  </si>
  <si>
    <t>Periféricos</t>
  </si>
  <si>
    <t>Mouse Sem Fio</t>
  </si>
  <si>
    <t>Monitor 24"</t>
  </si>
  <si>
    <t>Eletrônicos</t>
  </si>
  <si>
    <t>Fone de Ouvido</t>
  </si>
  <si>
    <t>Áudio</t>
  </si>
  <si>
    <t>Notebook Básico</t>
  </si>
  <si>
    <t>Informática</t>
  </si>
  <si>
    <t>Cadeira Gamer</t>
  </si>
  <si>
    <t>Móveis</t>
  </si>
  <si>
    <t>Mouse Gamer</t>
  </si>
  <si>
    <t>Teclado Mecânico</t>
  </si>
  <si>
    <t>Headset</t>
  </si>
  <si>
    <t>Monitor 27"</t>
  </si>
  <si>
    <t>SSD 480GB</t>
  </si>
  <si>
    <t>Armazenamento</t>
  </si>
  <si>
    <t>HD Externo 1TB</t>
  </si>
  <si>
    <t>Notebook Intermediário</t>
  </si>
  <si>
    <t>Mouse Pad Gamer</t>
  </si>
  <si>
    <t>Webcam HD</t>
  </si>
  <si>
    <t>Teclado Office</t>
  </si>
  <si>
    <t>Impressora</t>
  </si>
  <si>
    <t>Headset Pro</t>
  </si>
  <si>
    <t>Cabo HDMI</t>
  </si>
  <si>
    <t>Notebook Gamer</t>
  </si>
  <si>
    <t>Monitor 32"</t>
  </si>
  <si>
    <t>Fone Bluetooth</t>
  </si>
  <si>
    <t>Teclado RGB</t>
  </si>
  <si>
    <t>SSD 1TB</t>
  </si>
  <si>
    <t>Total</t>
  </si>
  <si>
    <t>Rótulos de Linha</t>
  </si>
  <si>
    <t>Soma de Total</t>
  </si>
  <si>
    <t>Nome_Colaborador_PROCV</t>
  </si>
  <si>
    <t>Nome_Colaborador_PROCX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</si>
</sst>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[projeto-excel-vendas.xlsx]Dashboard!Dashboard_Vendas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Ranking</a:t>
            </a:r>
            <a:r>
              <a:rPr lang="pt-BR" baseline="0"/>
              <a:t> de Vendas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Dashboard!$A$4:$A$12</c:f>
              <c:strCache>
                <c:ptCount val="9"/>
                <c:pt idx="0">
                  <c:v>Igor Martins</c:v>
                </c:pt>
                <c:pt idx="1">
                  <c:v>Kleber Rocha</c:v>
                </c:pt>
                <c:pt idx="2">
                  <c:v>Daniela Rocha</c:v>
                </c:pt>
                <c:pt idx="3">
                  <c:v>Bruno Souza</c:v>
                </c:pt>
                <c:pt idx="4">
                  <c:v>Natalia Barros</c:v>
                </c:pt>
                <c:pt idx="5">
                  <c:v>Patricia Lima</c:v>
                </c:pt>
                <c:pt idx="6">
                  <c:v>Fernanda Alves</c:v>
                </c:pt>
                <c:pt idx="7">
                  <c:v>Ana Silva</c:v>
                </c:pt>
                <c:pt idx="8">
                  <c:v>Samuel Dias</c:v>
                </c:pt>
              </c:strCache>
            </c:strRef>
          </c:cat>
          <c:val>
            <c:numRef>
              <c:f>Dashboard!$B$4:$B$12</c:f>
              <c:numCache>
                <c:formatCode>General</c:formatCode>
                <c:ptCount val="9"/>
                <c:pt idx="0">
                  <c:v>10200</c:v>
                </c:pt>
                <c:pt idx="1">
                  <c:v>2500</c:v>
                </c:pt>
                <c:pt idx="2">
                  <c:v>2100</c:v>
                </c:pt>
                <c:pt idx="3">
                  <c:v>1840</c:v>
                </c:pt>
                <c:pt idx="4">
                  <c:v>1120</c:v>
                </c:pt>
                <c:pt idx="5">
                  <c:v>1070</c:v>
                </c:pt>
                <c:pt idx="6">
                  <c:v>770</c:v>
                </c:pt>
                <c:pt idx="7">
                  <c:v>730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4-4976-B4FE-8F26DF59F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2569023"/>
        <c:axId val="1752569983"/>
        <c:axId val="0"/>
      </c:bar3DChart>
      <c:catAx>
        <c:axId val="175256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569983"/>
        <c:crosses val="autoZero"/>
        <c:auto val="1"/>
        <c:lblAlgn val="ctr"/>
        <c:lblOffset val="100"/>
        <c:noMultiLvlLbl val="0"/>
      </c:catAx>
      <c:valAx>
        <c:axId val="175256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56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[projeto-excel-vendas.xlsx]Dashboard!Tabela dinâmica4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po Categoria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Dashboard!$O$4:$O$9</c:f>
              <c:strCache>
                <c:ptCount val="6"/>
                <c:pt idx="0">
                  <c:v>Informática</c:v>
                </c:pt>
                <c:pt idx="1">
                  <c:v>Eletrônicos</c:v>
                </c:pt>
                <c:pt idx="2">
                  <c:v>Periféricos</c:v>
                </c:pt>
                <c:pt idx="3">
                  <c:v>Armazenamento</c:v>
                </c:pt>
                <c:pt idx="4">
                  <c:v>Áudio</c:v>
                </c:pt>
                <c:pt idx="5">
                  <c:v>Móveis</c:v>
                </c:pt>
              </c:strCache>
            </c:strRef>
          </c:cat>
          <c:val>
            <c:numRef>
              <c:f>Dashboard!$P$4:$P$9</c:f>
              <c:numCache>
                <c:formatCode>General</c:formatCode>
                <c:ptCount val="6"/>
                <c:pt idx="0">
                  <c:v>10200</c:v>
                </c:pt>
                <c:pt idx="1">
                  <c:v>4600</c:v>
                </c:pt>
                <c:pt idx="2">
                  <c:v>2710</c:v>
                </c:pt>
                <c:pt idx="3">
                  <c:v>1550</c:v>
                </c:pt>
                <c:pt idx="4">
                  <c:v>1070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7-4D7C-8B56-2A71D15BE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18</xdr:row>
      <xdr:rowOff>19050</xdr:rowOff>
    </xdr:from>
    <xdr:to>
      <xdr:col>12</xdr:col>
      <xdr:colOff>76200</xdr:colOff>
      <xdr:row>37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579763-335F-BD2D-5A44-FAB2E989A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14</xdr:row>
      <xdr:rowOff>9525</xdr:rowOff>
    </xdr:from>
    <xdr:to>
      <xdr:col>19</xdr:col>
      <xdr:colOff>400049</xdr:colOff>
      <xdr:row>32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8B92C3-3C4F-B4A2-6C18-059704228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</xdr:colOff>
      <xdr:row>3</xdr:row>
      <xdr:rowOff>66675</xdr:rowOff>
    </xdr:from>
    <xdr:to>
      <xdr:col>12</xdr:col>
      <xdr:colOff>19050</xdr:colOff>
      <xdr:row>17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a">
              <a:extLst>
                <a:ext uri="{FF2B5EF4-FFF2-40B4-BE49-F238E27FC236}">
                  <a16:creationId xmlns:a16="http://schemas.microsoft.com/office/drawing/2014/main" id="{646F7DBA-11C2-7F15-700F-0D908676F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375" y="6381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3</xdr:row>
      <xdr:rowOff>66675</xdr:rowOff>
    </xdr:from>
    <xdr:to>
      <xdr:col>8</xdr:col>
      <xdr:colOff>590550</xdr:colOff>
      <xdr:row>17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E59A49FC-E09C-2C63-7F30-6CCB96A42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2475" y="6381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561975</xdr:colOff>
      <xdr:row>3</xdr:row>
      <xdr:rowOff>66675</xdr:rowOff>
    </xdr:from>
    <xdr:to>
      <xdr:col>5</xdr:col>
      <xdr:colOff>561975</xdr:colOff>
      <xdr:row>17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Nome_Colaborador">
              <a:extLst>
                <a:ext uri="{FF2B5EF4-FFF2-40B4-BE49-F238E27FC236}">
                  <a16:creationId xmlns:a16="http://schemas.microsoft.com/office/drawing/2014/main" id="{29518718-1659-6BA7-20D5-332D7F1ABD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_Colabora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6381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600076</xdr:colOff>
      <xdr:row>0</xdr:row>
      <xdr:rowOff>19050</xdr:rowOff>
    </xdr:from>
    <xdr:to>
      <xdr:col>12</xdr:col>
      <xdr:colOff>295276</xdr:colOff>
      <xdr:row>3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211DA57-6A29-AB4F-8018-A3BDFBCE4123}"/>
            </a:ext>
          </a:extLst>
        </xdr:cNvPr>
        <xdr:cNvSpPr txBox="1"/>
      </xdr:nvSpPr>
      <xdr:spPr>
        <a:xfrm>
          <a:off x="5181601" y="19050"/>
          <a:ext cx="33528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/>
            <a:t>Dashboard de Vendas</a:t>
          </a:r>
        </a:p>
      </xdr:txBody>
    </xdr:sp>
    <xdr:clientData/>
  </xdr:twoCellAnchor>
  <xdr:twoCellAnchor>
    <xdr:from>
      <xdr:col>11</xdr:col>
      <xdr:colOff>0</xdr:colOff>
      <xdr:row>16</xdr:row>
      <xdr:rowOff>57150</xdr:rowOff>
    </xdr:from>
    <xdr:to>
      <xdr:col>11</xdr:col>
      <xdr:colOff>180975</xdr:colOff>
      <xdr:row>16</xdr:row>
      <xdr:rowOff>102869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942FDE1-DAAD-62BD-F1D7-EFD220977795}"/>
            </a:ext>
          </a:extLst>
        </xdr:cNvPr>
        <xdr:cNvSpPr txBox="1"/>
      </xdr:nvSpPr>
      <xdr:spPr>
        <a:xfrm>
          <a:off x="7629525" y="3105150"/>
          <a:ext cx="180975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ilson Tavares" refreshedDate="46141.653705092591" createdVersion="8" refreshedVersion="8" minRefreshableVersion="3" recordCount="25" xr:uid="{953DD571-D029-4EE8-96B6-773CA88CB984}">
  <cacheSource type="worksheet">
    <worksheetSource name="tb_vendas"/>
  </cacheSource>
  <cacheFields count="9">
    <cacheField name="ID_Venda" numFmtId="0">
      <sharedItems containsSemiMixedTypes="0" containsString="0" containsNumber="1" containsInteger="1" minValue="1001" maxValue="1025"/>
    </cacheField>
    <cacheField name="Data" numFmtId="14">
      <sharedItems containsSemiMixedTypes="0" containsNonDate="0" containsDate="1" containsString="0" minDate="2025-01-05T00:00:00" maxDate="2025-01-30T00:00:00" count="25"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</sharedItems>
    </cacheField>
    <cacheField name="ID_Colaborador" numFmtId="0">
      <sharedItems containsSemiMixedTypes="0" containsString="0" containsNumber="1" containsInteger="1" minValue="1" maxValue="19"/>
    </cacheField>
    <cacheField name="Produto" numFmtId="0">
      <sharedItems/>
    </cacheField>
    <cacheField name="Categoria" numFmtId="0">
      <sharedItems count="6">
        <s v="Periféricos"/>
        <s v="Eletrônicos"/>
        <s v="Áudio"/>
        <s v="Informática"/>
        <s v="Móveis"/>
        <s v="Armazenamento"/>
      </sharedItems>
    </cacheField>
    <cacheField name="Quantidade" numFmtId="0">
      <sharedItems containsSemiMixedTypes="0" containsString="0" containsNumber="1" containsInteger="1" minValue="1" maxValue="6"/>
    </cacheField>
    <cacheField name="Valor_Unitario" numFmtId="0">
      <sharedItems containsSemiMixedTypes="0" containsString="0" containsNumber="1" containsInteger="1" minValue="30" maxValue="4500"/>
    </cacheField>
    <cacheField name="Total" numFmtId="0">
      <sharedItems containsSemiMixedTypes="0" containsString="0" containsNumber="1" containsInteger="1" minValue="180" maxValue="4500"/>
    </cacheField>
    <cacheField name="Nome_Colaborador" numFmtId="0">
      <sharedItems count="9">
        <s v="Ana Silva"/>
        <s v="Bruno Souza"/>
        <s v="Daniela Rocha"/>
        <s v="Fernanda Alves"/>
        <s v="Igor Martins"/>
        <s v="Kleber Rocha"/>
        <s v="Natalia Barros"/>
        <s v="Patricia Lima"/>
        <s v="Samuel Dias"/>
      </sharedItems>
    </cacheField>
  </cacheFields>
  <extLst>
    <ext xmlns:x14="http://schemas.microsoft.com/office/spreadsheetml/2009/9/main" uri="{725AE2AE-9491-48be-B2B4-4EB974FC3084}">
      <x14:pivotCacheDefinition pivotCacheId="5676084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01"/>
    <x v="0"/>
    <n v="1"/>
    <s v="Teclado Gamer"/>
    <x v="0"/>
    <n v="2"/>
    <n v="150"/>
    <n v="300"/>
    <x v="0"/>
  </r>
  <r>
    <n v="1002"/>
    <x v="1"/>
    <n v="2"/>
    <s v="Mouse Sem Fio"/>
    <x v="0"/>
    <n v="3"/>
    <n v="80"/>
    <n v="240"/>
    <x v="1"/>
  </r>
  <r>
    <n v="1003"/>
    <x v="2"/>
    <n v="4"/>
    <s v="Monitor 24&quot;"/>
    <x v="1"/>
    <n v="1"/>
    <n v="900"/>
    <n v="900"/>
    <x v="2"/>
  </r>
  <r>
    <n v="1004"/>
    <x v="3"/>
    <n v="6"/>
    <s v="Fone de Ouvido"/>
    <x v="2"/>
    <n v="2"/>
    <n v="120"/>
    <n v="240"/>
    <x v="3"/>
  </r>
  <r>
    <n v="1005"/>
    <x v="4"/>
    <n v="9"/>
    <s v="Notebook Básico"/>
    <x v="3"/>
    <n v="1"/>
    <n v="2500"/>
    <n v="2500"/>
    <x v="4"/>
  </r>
  <r>
    <n v="1006"/>
    <x v="5"/>
    <n v="11"/>
    <s v="Cadeira Gamer"/>
    <x v="4"/>
    <n v="1"/>
    <n v="800"/>
    <n v="800"/>
    <x v="5"/>
  </r>
  <r>
    <n v="1007"/>
    <x v="6"/>
    <n v="14"/>
    <s v="Mouse Gamer"/>
    <x v="0"/>
    <n v="4"/>
    <n v="100"/>
    <n v="400"/>
    <x v="6"/>
  </r>
  <r>
    <n v="1008"/>
    <x v="7"/>
    <n v="16"/>
    <s v="Teclado Mecânico"/>
    <x v="0"/>
    <n v="2"/>
    <n v="220"/>
    <n v="440"/>
    <x v="7"/>
  </r>
  <r>
    <n v="1009"/>
    <x v="8"/>
    <n v="1"/>
    <s v="Headset"/>
    <x v="2"/>
    <n v="1"/>
    <n v="180"/>
    <n v="180"/>
    <x v="0"/>
  </r>
  <r>
    <n v="1010"/>
    <x v="9"/>
    <n v="2"/>
    <s v="Monitor 27&quot;"/>
    <x v="1"/>
    <n v="1"/>
    <n v="1200"/>
    <n v="1200"/>
    <x v="1"/>
  </r>
  <r>
    <n v="1011"/>
    <x v="10"/>
    <n v="4"/>
    <s v="SSD 480GB"/>
    <x v="5"/>
    <n v="2"/>
    <n v="300"/>
    <n v="600"/>
    <x v="2"/>
  </r>
  <r>
    <n v="1012"/>
    <x v="11"/>
    <n v="6"/>
    <s v="HD Externo 1TB"/>
    <x v="5"/>
    <n v="1"/>
    <n v="350"/>
    <n v="350"/>
    <x v="3"/>
  </r>
  <r>
    <n v="1013"/>
    <x v="12"/>
    <n v="9"/>
    <s v="Notebook Intermediário"/>
    <x v="3"/>
    <n v="1"/>
    <n v="3200"/>
    <n v="3200"/>
    <x v="4"/>
  </r>
  <r>
    <n v="1014"/>
    <x v="13"/>
    <n v="11"/>
    <s v="Mouse Pad Gamer"/>
    <x v="0"/>
    <n v="5"/>
    <n v="40"/>
    <n v="200"/>
    <x v="5"/>
  </r>
  <r>
    <n v="1015"/>
    <x v="14"/>
    <n v="14"/>
    <s v="Webcam HD"/>
    <x v="1"/>
    <n v="2"/>
    <n v="200"/>
    <n v="400"/>
    <x v="6"/>
  </r>
  <r>
    <n v="1016"/>
    <x v="15"/>
    <n v="16"/>
    <s v="Teclado Office"/>
    <x v="0"/>
    <n v="3"/>
    <n v="90"/>
    <n v="270"/>
    <x v="7"/>
  </r>
  <r>
    <n v="1017"/>
    <x v="16"/>
    <n v="19"/>
    <s v="Impressora"/>
    <x v="1"/>
    <n v="1"/>
    <n v="600"/>
    <n v="600"/>
    <x v="8"/>
  </r>
  <r>
    <n v="1018"/>
    <x v="17"/>
    <n v="1"/>
    <s v="Headset Pro"/>
    <x v="2"/>
    <n v="1"/>
    <n v="250"/>
    <n v="250"/>
    <x v="0"/>
  </r>
  <r>
    <n v="1019"/>
    <x v="18"/>
    <n v="6"/>
    <s v="Cabo HDMI"/>
    <x v="0"/>
    <n v="6"/>
    <n v="30"/>
    <n v="180"/>
    <x v="3"/>
  </r>
  <r>
    <n v="1020"/>
    <x v="19"/>
    <n v="9"/>
    <s v="Notebook Gamer"/>
    <x v="3"/>
    <n v="1"/>
    <n v="4500"/>
    <n v="4500"/>
    <x v="4"/>
  </r>
  <r>
    <n v="1021"/>
    <x v="20"/>
    <n v="14"/>
    <s v="Mouse Sem Fio"/>
    <x v="0"/>
    <n v="4"/>
    <n v="80"/>
    <n v="320"/>
    <x v="6"/>
  </r>
  <r>
    <n v="1022"/>
    <x v="21"/>
    <n v="11"/>
    <s v="Monitor 32&quot;"/>
    <x v="1"/>
    <n v="1"/>
    <n v="1500"/>
    <n v="1500"/>
    <x v="5"/>
  </r>
  <r>
    <n v="1023"/>
    <x v="22"/>
    <n v="2"/>
    <s v="Fone Bluetooth"/>
    <x v="2"/>
    <n v="2"/>
    <n v="200"/>
    <n v="400"/>
    <x v="1"/>
  </r>
  <r>
    <n v="1024"/>
    <x v="23"/>
    <n v="16"/>
    <s v="Teclado RGB"/>
    <x v="0"/>
    <n v="2"/>
    <n v="180"/>
    <n v="360"/>
    <x v="7"/>
  </r>
  <r>
    <n v="1025"/>
    <x v="24"/>
    <n v="4"/>
    <s v="SSD 1TB"/>
    <x v="5"/>
    <n v="1"/>
    <n v="600"/>
    <n v="6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FE136-A129-44B1-8D55-6D479BCD0FB2}" name="Tabela dinâmica4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5">
  <location ref="O3:P9" firstHeaderRow="1" firstDataRow="1" firstDataCol="1"/>
  <pivotFields count="9">
    <pivotField showAll="0"/>
    <pivotField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axis="axisRow" showAll="0" sortType="descending">
      <items count="7">
        <item x="5"/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">
    <i>
      <x v="3"/>
    </i>
    <i>
      <x v="2"/>
    </i>
    <i>
      <x v="5"/>
    </i>
    <i>
      <x/>
    </i>
    <i>
      <x v="1"/>
    </i>
    <i>
      <x v="4"/>
    </i>
  </rowItems>
  <colItems count="1">
    <i/>
  </colItems>
  <dataFields count="1">
    <dataField name="Soma de Total" fld="7" baseField="0" baseItem="0"/>
  </dataFields>
  <chartFormats count="2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673AE-C1C2-4760-80E4-39E62994847E}" name="Dashboard_Vendas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7">
  <location ref="A3:B12" firstHeaderRow="1" firstDataRow="1" firstDataCol="1"/>
  <pivotFields count="9">
    <pivotField showAll="0"/>
    <pivotField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>
      <items count="7">
        <item x="5"/>
        <item x="2"/>
        <item x="1"/>
        <item x="3"/>
        <item x="4"/>
        <item x="0"/>
        <item t="default"/>
      </items>
    </pivotField>
    <pivotField showAll="0"/>
    <pivotField showAll="0"/>
    <pivotField dataField="1"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9">
    <i>
      <x v="4"/>
    </i>
    <i>
      <x v="5"/>
    </i>
    <i>
      <x v="2"/>
    </i>
    <i>
      <x v="1"/>
    </i>
    <i>
      <x v="6"/>
    </i>
    <i>
      <x v="7"/>
    </i>
    <i>
      <x v="3"/>
    </i>
    <i>
      <x/>
    </i>
    <i>
      <x v="8"/>
    </i>
  </rowItems>
  <colItems count="1">
    <i/>
  </colItems>
  <dataFields count="1">
    <dataField name="Soma de Total" fld="7" baseField="0" baseItem="0"/>
  </dataFields>
  <chartFormats count="1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91F9DAB4-7335-4628-B937-DC9DF17D58D0}" sourceName="Data">
  <pivotTables>
    <pivotTable tabId="3" name="Tabela dinâmica4"/>
    <pivotTable tabId="3" name="Dashboard_Vendas"/>
  </pivotTables>
  <data>
    <tabular pivotCacheId="567608421">
      <items count="2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35833D27-55B8-412A-BC58-2D8A543B954E}" sourceName="Categoria">
  <pivotTables>
    <pivotTable tabId="3" name="Tabela dinâmica4"/>
    <pivotTable tabId="3" name="Dashboard_Vendas"/>
  </pivotTables>
  <data>
    <tabular pivotCacheId="567608421">
      <items count="6">
        <i x="5" s="1"/>
        <i x="2" s="1"/>
        <i x="1" s="1"/>
        <i x="3" s="1"/>
        <i x="4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Colaborador" xr10:uid="{020188B2-CA9A-44D0-B54B-CC69AE6041DC}" sourceName="Nome_Colaborador">
  <pivotTables>
    <pivotTable tabId="3" name="Tabela dinâmica4"/>
    <pivotTable tabId="3" name="Dashboard_Vendas"/>
  </pivotTables>
  <data>
    <tabular pivotCacheId="567608421">
      <items count="9">
        <i x="0" s="1"/>
        <i x="1" s="1"/>
        <i x="2" s="1"/>
        <i x="3" s="1"/>
        <i x="4" s="1"/>
        <i x="5" s="1"/>
        <i x="6" s="1"/>
        <i x="7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6047D484-48C3-4E5E-805E-7FF3A93E2B32}" cache="SegmentaçãodeDados_Data" caption="Data" rowHeight="257175"/>
  <slicer name="Categoria" xr10:uid="{080C6D1C-8EF0-49EA-9465-658DF02A8FCA}" cache="SegmentaçãodeDados_Categoria" caption="Categoria" rowHeight="257175"/>
  <slicer name="Nome_Colaborador" xr10:uid="{55A34A42-4B56-4822-AA00-167965198466}" cache="SegmentaçãodeDados_Nome_Colaborador" caption="Nome_Colaborador" startItem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03F21-6BB1-4EDD-82E7-1E002B3547F9}" name="tb_colaboradores" displayName="tb_colaboradores" ref="A1:G21" totalsRowShown="0">
  <autoFilter ref="A1:G21" xr:uid="{0AB03F21-6BB1-4EDD-82E7-1E002B3547F9}"/>
  <tableColumns count="7">
    <tableColumn id="1" xr3:uid="{931C6D04-EB9D-4509-A3F4-AF5D064FC2BB}" name="ID_Colaborador"/>
    <tableColumn id="2" xr3:uid="{9C0CD11B-6A30-4A2C-9780-D3109C9E0DF7}" name="Nome"/>
    <tableColumn id="3" xr3:uid="{91796FCB-AAA6-448D-BC33-2663BAB7528D}" name="Setor"/>
    <tableColumn id="4" xr3:uid="{BFC5CBD7-1F29-416A-8261-2AA747E23FD7}" name="Cargo"/>
    <tableColumn id="5" xr3:uid="{391F7887-FEFD-4F22-9ADF-CB4BCCC43FAC}" name="Data_Admissao" dataDxfId="4"/>
    <tableColumn id="6" xr3:uid="{D56091CD-D25D-496E-943E-2DCDEE3D87B4}" name="Salario_Base"/>
    <tableColumn id="7" xr3:uid="{F0BBB29B-E151-40D4-96CF-1998AEB00378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FC429-C672-40F1-801D-9703A2407226}" name="tb_vendas" displayName="tb_vendas" ref="A1:J26" totalsRowShown="0">
  <autoFilter ref="A1:J26" xr:uid="{9B6FC429-C672-40F1-801D-9703A2407226}"/>
  <tableColumns count="10">
    <tableColumn id="1" xr3:uid="{5B2A9CF5-72AE-4265-BE7C-3C6F33AD2210}" name="ID_Venda"/>
    <tableColumn id="2" xr3:uid="{B128D2CD-34AE-4134-B190-DC2560A8D4DD}" name="Data" dataDxfId="3"/>
    <tableColumn id="3" xr3:uid="{4E2BCA93-1418-4C53-87BC-0417619FB040}" name="ID_Colaborador"/>
    <tableColumn id="4" xr3:uid="{E0107771-5760-4C60-95B7-813B8845C1E7}" name="Produto"/>
    <tableColumn id="5" xr3:uid="{F27900AF-99A2-4D71-B542-091D07DB7320}" name="Categoria"/>
    <tableColumn id="6" xr3:uid="{2BBC4F0D-03FD-43FE-9FE2-50AE2DC68777}" name="Quantidade"/>
    <tableColumn id="7" xr3:uid="{56299C1F-95E0-486F-A9A5-550759ACBA52}" name="Valor_Unitario"/>
    <tableColumn id="8" xr3:uid="{77716903-5545-4095-AB38-093FE5D12DB2}" name="Total" dataDxfId="2">
      <calculatedColumnFormula>tb_vendas[[#This Row],[Valor_Unitario]]*tb_vendas[[#This Row],[Quantidade]]</calculatedColumnFormula>
    </tableColumn>
    <tableColumn id="9" xr3:uid="{CC0C8E5F-2811-4368-A6D8-BB463E125135}" name="Nome_Colaborador_PROCX" dataDxfId="1">
      <calculatedColumnFormula>IFERROR(_xlfn.XLOOKUP(tb_vendas[[#This Row],[ID_Colaborador]],tb_colaboradores[ID_Colaborador],tb_colaboradores[Nome]),"Não encontrado")</calculatedColumnFormula>
    </tableColumn>
    <tableColumn id="10" xr3:uid="{434F62C9-5F54-404E-BED2-64BD4070CBCE}" name="Nome_Colaborador_PROCV" dataDxfId="0">
      <calculatedColumnFormula>IFERROR(VLOOKUP(tb_vendas[[#This Row],[ID_Colaborador]],tb_colaboradores[[ID_Colaborador]:[Nome]],2,FALSE),"Não encontrado")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FFB7-FAC5-4FC8-B7F3-4095390465D4}">
  <dimension ref="A1:G21"/>
  <sheetViews>
    <sheetView workbookViewId="0">
      <selection activeCell="H2" sqref="H2"/>
    </sheetView>
  </sheetViews>
  <sheetFormatPr defaultRowHeight="15" x14ac:dyDescent="0.25"/>
  <cols>
    <col min="1" max="1" width="17.140625" customWidth="1"/>
    <col min="2" max="2" width="15" bestFit="1" customWidth="1"/>
    <col min="3" max="3" width="14.140625" bestFit="1" customWidth="1"/>
    <col min="4" max="4" width="18.7109375" bestFit="1" customWidth="1"/>
    <col min="5" max="5" width="16.85546875" customWidth="1"/>
    <col min="6" max="6" width="14.42578125" customWidth="1"/>
    <col min="7" max="7" width="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1">
        <v>44967</v>
      </c>
      <c r="F2">
        <v>2500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s="1">
        <v>44880</v>
      </c>
      <c r="F3">
        <v>2200</v>
      </c>
      <c r="G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 s="1">
        <v>44428</v>
      </c>
      <c r="F4">
        <v>2000</v>
      </c>
      <c r="G4" t="s">
        <v>10</v>
      </c>
    </row>
    <row r="5" spans="1:7" x14ac:dyDescent="0.25">
      <c r="A5">
        <v>4</v>
      </c>
      <c r="B5" t="s">
        <v>17</v>
      </c>
      <c r="C5" t="s">
        <v>8</v>
      </c>
      <c r="D5" t="s">
        <v>9</v>
      </c>
      <c r="E5" s="1">
        <v>45296</v>
      </c>
      <c r="F5">
        <v>2600</v>
      </c>
      <c r="G5" t="s">
        <v>10</v>
      </c>
    </row>
    <row r="6" spans="1:7" x14ac:dyDescent="0.25">
      <c r="A6">
        <v>5</v>
      </c>
      <c r="B6" t="s">
        <v>18</v>
      </c>
      <c r="C6" t="s">
        <v>19</v>
      </c>
      <c r="D6" t="s">
        <v>20</v>
      </c>
      <c r="E6" s="1">
        <v>43963</v>
      </c>
      <c r="F6">
        <v>3200</v>
      </c>
      <c r="G6" t="s">
        <v>10</v>
      </c>
    </row>
    <row r="7" spans="1:7" x14ac:dyDescent="0.25">
      <c r="A7">
        <v>6</v>
      </c>
      <c r="B7" t="s">
        <v>21</v>
      </c>
      <c r="C7" t="s">
        <v>8</v>
      </c>
      <c r="D7" t="s">
        <v>9</v>
      </c>
      <c r="E7" s="1">
        <v>45125</v>
      </c>
      <c r="F7">
        <v>2500</v>
      </c>
      <c r="G7" t="s">
        <v>10</v>
      </c>
    </row>
    <row r="8" spans="1:7" x14ac:dyDescent="0.25">
      <c r="A8">
        <v>7</v>
      </c>
      <c r="B8" t="s">
        <v>22</v>
      </c>
      <c r="C8" t="s">
        <v>15</v>
      </c>
      <c r="D8" t="s">
        <v>23</v>
      </c>
      <c r="E8" s="1">
        <v>44630</v>
      </c>
      <c r="F8">
        <v>2100</v>
      </c>
      <c r="G8" t="s">
        <v>10</v>
      </c>
    </row>
    <row r="9" spans="1:7" x14ac:dyDescent="0.25">
      <c r="A9">
        <v>8</v>
      </c>
      <c r="B9" t="s">
        <v>24</v>
      </c>
      <c r="C9" t="s">
        <v>12</v>
      </c>
      <c r="D9" t="s">
        <v>25</v>
      </c>
      <c r="E9" s="1">
        <v>44453</v>
      </c>
      <c r="F9">
        <v>2200</v>
      </c>
      <c r="G9" t="s">
        <v>10</v>
      </c>
    </row>
    <row r="10" spans="1:7" x14ac:dyDescent="0.25">
      <c r="A10">
        <v>9</v>
      </c>
      <c r="B10" t="s">
        <v>26</v>
      </c>
      <c r="C10" t="s">
        <v>8</v>
      </c>
      <c r="D10" t="s">
        <v>27</v>
      </c>
      <c r="E10" s="1">
        <v>45200</v>
      </c>
      <c r="F10">
        <v>2400</v>
      </c>
      <c r="G10" t="s">
        <v>10</v>
      </c>
    </row>
    <row r="11" spans="1:7" x14ac:dyDescent="0.25">
      <c r="A11">
        <v>10</v>
      </c>
      <c r="B11" t="s">
        <v>28</v>
      </c>
      <c r="C11" t="s">
        <v>19</v>
      </c>
      <c r="D11" t="s">
        <v>29</v>
      </c>
      <c r="E11" s="1">
        <v>44168</v>
      </c>
      <c r="F11">
        <v>3500</v>
      </c>
      <c r="G11" t="s">
        <v>10</v>
      </c>
    </row>
    <row r="12" spans="1:7" x14ac:dyDescent="0.25">
      <c r="A12">
        <v>11</v>
      </c>
      <c r="B12" t="s">
        <v>30</v>
      </c>
      <c r="C12" t="s">
        <v>8</v>
      </c>
      <c r="D12" t="s">
        <v>27</v>
      </c>
      <c r="E12" s="1">
        <v>45342</v>
      </c>
      <c r="F12">
        <v>2450</v>
      </c>
      <c r="G12" t="s">
        <v>10</v>
      </c>
    </row>
    <row r="13" spans="1:7" x14ac:dyDescent="0.25">
      <c r="A13">
        <v>12</v>
      </c>
      <c r="B13" t="s">
        <v>31</v>
      </c>
      <c r="C13" t="s">
        <v>12</v>
      </c>
      <c r="D13" t="s">
        <v>25</v>
      </c>
      <c r="E13" s="1">
        <v>44737</v>
      </c>
      <c r="F13">
        <v>2200</v>
      </c>
      <c r="G13" t="s">
        <v>10</v>
      </c>
    </row>
    <row r="14" spans="1:7" x14ac:dyDescent="0.25">
      <c r="A14">
        <v>13</v>
      </c>
      <c r="B14" t="s">
        <v>32</v>
      </c>
      <c r="C14" t="s">
        <v>15</v>
      </c>
      <c r="D14" t="s">
        <v>16</v>
      </c>
      <c r="E14" s="1">
        <v>44207</v>
      </c>
      <c r="F14">
        <v>2000</v>
      </c>
      <c r="G14" t="s">
        <v>10</v>
      </c>
    </row>
    <row r="15" spans="1:7" x14ac:dyDescent="0.25">
      <c r="A15">
        <v>14</v>
      </c>
      <c r="B15" t="s">
        <v>33</v>
      </c>
      <c r="C15" t="s">
        <v>8</v>
      </c>
      <c r="D15" t="s">
        <v>9</v>
      </c>
      <c r="E15" s="1">
        <v>45015</v>
      </c>
      <c r="F15">
        <v>2550</v>
      </c>
      <c r="G15" t="s">
        <v>10</v>
      </c>
    </row>
    <row r="16" spans="1:7" x14ac:dyDescent="0.25">
      <c r="A16">
        <v>15</v>
      </c>
      <c r="B16" t="s">
        <v>34</v>
      </c>
      <c r="C16" t="s">
        <v>19</v>
      </c>
      <c r="D16" t="s">
        <v>35</v>
      </c>
      <c r="E16" s="1">
        <v>43746</v>
      </c>
      <c r="F16">
        <v>4000</v>
      </c>
      <c r="G16" t="s">
        <v>10</v>
      </c>
    </row>
    <row r="17" spans="1:7" x14ac:dyDescent="0.25">
      <c r="A17">
        <v>16</v>
      </c>
      <c r="B17" t="s">
        <v>36</v>
      </c>
      <c r="C17" t="s">
        <v>8</v>
      </c>
      <c r="D17" t="s">
        <v>9</v>
      </c>
      <c r="E17" s="1">
        <v>45426</v>
      </c>
      <c r="F17">
        <v>2600</v>
      </c>
      <c r="G17" t="s">
        <v>10</v>
      </c>
    </row>
    <row r="18" spans="1:7" x14ac:dyDescent="0.25">
      <c r="A18">
        <v>17</v>
      </c>
      <c r="B18" t="s">
        <v>37</v>
      </c>
      <c r="C18" t="s">
        <v>15</v>
      </c>
      <c r="D18" t="s">
        <v>23</v>
      </c>
      <c r="E18" s="1">
        <v>44813</v>
      </c>
      <c r="F18">
        <v>2100</v>
      </c>
      <c r="G18" t="s">
        <v>10</v>
      </c>
    </row>
    <row r="19" spans="1:7" x14ac:dyDescent="0.25">
      <c r="A19">
        <v>18</v>
      </c>
      <c r="B19" t="s">
        <v>38</v>
      </c>
      <c r="C19" t="s">
        <v>12</v>
      </c>
      <c r="D19" t="s">
        <v>25</v>
      </c>
      <c r="E19" s="1">
        <v>44948</v>
      </c>
      <c r="F19">
        <v>2250</v>
      </c>
      <c r="G19" t="s">
        <v>10</v>
      </c>
    </row>
    <row r="20" spans="1:7" x14ac:dyDescent="0.25">
      <c r="A20">
        <v>19</v>
      </c>
      <c r="B20" t="s">
        <v>39</v>
      </c>
      <c r="C20" t="s">
        <v>8</v>
      </c>
      <c r="D20" t="s">
        <v>27</v>
      </c>
      <c r="E20" s="1">
        <v>45087</v>
      </c>
      <c r="F20">
        <v>2400</v>
      </c>
      <c r="G20" t="s">
        <v>10</v>
      </c>
    </row>
    <row r="21" spans="1:7" x14ac:dyDescent="0.25">
      <c r="A21">
        <v>20</v>
      </c>
      <c r="B21" t="s">
        <v>40</v>
      </c>
      <c r="C21" t="s">
        <v>19</v>
      </c>
      <c r="D21" t="s">
        <v>20</v>
      </c>
      <c r="E21" s="1">
        <v>44303</v>
      </c>
      <c r="F21">
        <v>3200</v>
      </c>
      <c r="G21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1915-8038-445E-ABF3-5DFE6BDA78CE}">
  <dimension ref="A3:P12"/>
  <sheetViews>
    <sheetView workbookViewId="0">
      <selection activeCell="S10" sqref="S10"/>
    </sheetView>
  </sheetViews>
  <sheetFormatPr defaultRowHeight="15" x14ac:dyDescent="0.25"/>
  <cols>
    <col min="1" max="1" width="18.42578125" bestFit="1" customWidth="1"/>
    <col min="2" max="2" width="13.7109375" bestFit="1" customWidth="1"/>
    <col min="15" max="15" width="18.42578125" bestFit="1" customWidth="1"/>
    <col min="16" max="16" width="13.7109375" bestFit="1" customWidth="1"/>
  </cols>
  <sheetData>
    <row r="3" spans="1:16" x14ac:dyDescent="0.25">
      <c r="A3" s="3" t="s">
        <v>78</v>
      </c>
      <c r="B3" t="s">
        <v>79</v>
      </c>
      <c r="O3" s="3" t="s">
        <v>78</v>
      </c>
      <c r="P3" t="s">
        <v>79</v>
      </c>
    </row>
    <row r="4" spans="1:16" x14ac:dyDescent="0.25">
      <c r="A4" s="4" t="s">
        <v>26</v>
      </c>
      <c r="B4" s="2">
        <v>10200</v>
      </c>
      <c r="O4" s="4" t="s">
        <v>55</v>
      </c>
      <c r="P4" s="2">
        <v>10200</v>
      </c>
    </row>
    <row r="5" spans="1:16" x14ac:dyDescent="0.25">
      <c r="A5" s="4" t="s">
        <v>30</v>
      </c>
      <c r="B5" s="2">
        <v>2500</v>
      </c>
      <c r="O5" s="4" t="s">
        <v>51</v>
      </c>
      <c r="P5" s="2">
        <v>4600</v>
      </c>
    </row>
    <row r="6" spans="1:16" x14ac:dyDescent="0.25">
      <c r="A6" s="4" t="s">
        <v>17</v>
      </c>
      <c r="B6" s="2">
        <v>2100</v>
      </c>
      <c r="O6" s="4" t="s">
        <v>48</v>
      </c>
      <c r="P6" s="2">
        <v>2710</v>
      </c>
    </row>
    <row r="7" spans="1:16" x14ac:dyDescent="0.25">
      <c r="A7" s="4" t="s">
        <v>11</v>
      </c>
      <c r="B7" s="2">
        <v>1840</v>
      </c>
      <c r="O7" s="4" t="s">
        <v>63</v>
      </c>
      <c r="P7" s="2">
        <v>1550</v>
      </c>
    </row>
    <row r="8" spans="1:16" x14ac:dyDescent="0.25">
      <c r="A8" s="4" t="s">
        <v>33</v>
      </c>
      <c r="B8" s="2">
        <v>1120</v>
      </c>
      <c r="O8" s="4" t="s">
        <v>53</v>
      </c>
      <c r="P8" s="2">
        <v>1070</v>
      </c>
    </row>
    <row r="9" spans="1:16" x14ac:dyDescent="0.25">
      <c r="A9" s="4" t="s">
        <v>36</v>
      </c>
      <c r="B9" s="2">
        <v>1070</v>
      </c>
      <c r="O9" s="4" t="s">
        <v>57</v>
      </c>
      <c r="P9" s="2">
        <v>800</v>
      </c>
    </row>
    <row r="10" spans="1:16" x14ac:dyDescent="0.25">
      <c r="A10" s="4" t="s">
        <v>21</v>
      </c>
      <c r="B10" s="2">
        <v>770</v>
      </c>
    </row>
    <row r="11" spans="1:16" x14ac:dyDescent="0.25">
      <c r="A11" s="4" t="s">
        <v>7</v>
      </c>
      <c r="B11" s="2">
        <v>730</v>
      </c>
    </row>
    <row r="12" spans="1:16" x14ac:dyDescent="0.25">
      <c r="A12" s="4" t="s">
        <v>39</v>
      </c>
      <c r="B12" s="2">
        <v>600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ACA6-EF70-4C8B-B764-3E96573FBBCA}">
  <dimension ref="A1:L26"/>
  <sheetViews>
    <sheetView tabSelected="1" workbookViewId="0">
      <selection activeCell="O9" sqref="O9"/>
    </sheetView>
  </sheetViews>
  <sheetFormatPr defaultRowHeight="15" x14ac:dyDescent="0.25"/>
  <cols>
    <col min="1" max="1" width="11.5703125" customWidth="1"/>
    <col min="2" max="2" width="10.42578125" bestFit="1" customWidth="1"/>
    <col min="3" max="3" width="17.140625" customWidth="1"/>
    <col min="4" max="4" width="22.42578125" bestFit="1" customWidth="1"/>
    <col min="5" max="5" width="15.5703125" bestFit="1" customWidth="1"/>
    <col min="6" max="6" width="13.5703125" customWidth="1"/>
    <col min="7" max="7" width="15.7109375" customWidth="1"/>
    <col min="9" max="10" width="28.5703125" bestFit="1" customWidth="1"/>
    <col min="11" max="11" width="15.140625" customWidth="1"/>
    <col min="12" max="12" width="12.85546875" customWidth="1"/>
    <col min="13" max="13" width="11.85546875" customWidth="1"/>
  </cols>
  <sheetData>
    <row r="1" spans="1:10" x14ac:dyDescent="0.25">
      <c r="A1" t="s">
        <v>41</v>
      </c>
      <c r="B1" t="s">
        <v>42</v>
      </c>
      <c r="C1" t="s">
        <v>0</v>
      </c>
      <c r="D1" t="s">
        <v>43</v>
      </c>
      <c r="E1" t="s">
        <v>44</v>
      </c>
      <c r="F1" t="s">
        <v>45</v>
      </c>
      <c r="G1" t="s">
        <v>46</v>
      </c>
      <c r="H1" t="s">
        <v>77</v>
      </c>
      <c r="I1" t="s">
        <v>81</v>
      </c>
      <c r="J1" t="s">
        <v>80</v>
      </c>
    </row>
    <row r="2" spans="1:10" x14ac:dyDescent="0.25">
      <c r="A2">
        <v>1001</v>
      </c>
      <c r="B2" s="1">
        <v>45662</v>
      </c>
      <c r="C2">
        <v>1</v>
      </c>
      <c r="D2" t="s">
        <v>47</v>
      </c>
      <c r="E2" t="s">
        <v>48</v>
      </c>
      <c r="F2">
        <v>2</v>
      </c>
      <c r="G2">
        <v>150</v>
      </c>
      <c r="H2">
        <f>tb_vendas[[#This Row],[Valor_Unitario]]*tb_vendas[[#This Row],[Quantidade]]</f>
        <v>300</v>
      </c>
      <c r="I2" s="2" t="str">
        <f>IFERROR(_xlfn.XLOOKUP(tb_vendas[[#This Row],[ID_Colaborador]],tb_colaboradores[ID_Colaborador],tb_colaboradores[Nome]),"Não encontrado")</f>
        <v>Ana Silva</v>
      </c>
      <c r="J2" s="2" t="str">
        <f>IFERROR(VLOOKUP(tb_vendas[[#This Row],[ID_Colaborador]],tb_colaboradores[[ID_Colaborador]:[Nome]],2,FALSE),"Não encontrado")</f>
        <v>Ana Silva</v>
      </c>
    </row>
    <row r="3" spans="1:10" x14ac:dyDescent="0.25">
      <c r="A3">
        <v>1002</v>
      </c>
      <c r="B3" s="1">
        <v>45663</v>
      </c>
      <c r="C3">
        <v>2</v>
      </c>
      <c r="D3" t="s">
        <v>49</v>
      </c>
      <c r="E3" t="s">
        <v>48</v>
      </c>
      <c r="F3">
        <v>3</v>
      </c>
      <c r="G3">
        <v>80</v>
      </c>
      <c r="H3">
        <f>tb_vendas[[#This Row],[Valor_Unitario]]*tb_vendas[[#This Row],[Quantidade]]</f>
        <v>240</v>
      </c>
      <c r="I3" s="2" t="str">
        <f>IFERROR(_xlfn.XLOOKUP(tb_vendas[[#This Row],[ID_Colaborador]],tb_colaboradores[ID_Colaborador],tb_colaboradores[Nome]),"Não encontrado")</f>
        <v>Bruno Souza</v>
      </c>
      <c r="J3" s="2" t="str">
        <f>IFERROR(VLOOKUP(tb_vendas[[#This Row],[ID_Colaborador]],tb_colaboradores[[ID_Colaborador]:[Nome]],2,FALSE),"Não encontrado")</f>
        <v>Bruno Souza</v>
      </c>
    </row>
    <row r="4" spans="1:10" x14ac:dyDescent="0.25">
      <c r="A4">
        <v>1003</v>
      </c>
      <c r="B4" s="1">
        <v>45664</v>
      </c>
      <c r="C4">
        <v>4</v>
      </c>
      <c r="D4" t="s">
        <v>50</v>
      </c>
      <c r="E4" t="s">
        <v>51</v>
      </c>
      <c r="F4">
        <v>1</v>
      </c>
      <c r="G4">
        <v>900</v>
      </c>
      <c r="H4">
        <f>tb_vendas[[#This Row],[Valor_Unitario]]*tb_vendas[[#This Row],[Quantidade]]</f>
        <v>900</v>
      </c>
      <c r="I4" s="2" t="str">
        <f>IFERROR(_xlfn.XLOOKUP(tb_vendas[[#This Row],[ID_Colaborador]],tb_colaboradores[ID_Colaborador],tb_colaboradores[Nome]),"Não encontrado")</f>
        <v>Daniela Rocha</v>
      </c>
      <c r="J4" s="2" t="str">
        <f>IFERROR(VLOOKUP(tb_vendas[[#This Row],[ID_Colaborador]],tb_colaboradores[[ID_Colaborador]:[Nome]],2,FALSE),"Não encontrado")</f>
        <v>Daniela Rocha</v>
      </c>
    </row>
    <row r="5" spans="1:10" x14ac:dyDescent="0.25">
      <c r="A5">
        <v>1004</v>
      </c>
      <c r="B5" s="1">
        <v>45665</v>
      </c>
      <c r="C5">
        <v>6</v>
      </c>
      <c r="D5" t="s">
        <v>52</v>
      </c>
      <c r="E5" t="s">
        <v>53</v>
      </c>
      <c r="F5">
        <v>2</v>
      </c>
      <c r="G5">
        <v>120</v>
      </c>
      <c r="H5">
        <f>tb_vendas[[#This Row],[Valor_Unitario]]*tb_vendas[[#This Row],[Quantidade]]</f>
        <v>240</v>
      </c>
      <c r="I5" s="2" t="str">
        <f>IFERROR(_xlfn.XLOOKUP(tb_vendas[[#This Row],[ID_Colaborador]],tb_colaboradores[ID_Colaborador],tb_colaboradores[Nome]),"Não encontrado")</f>
        <v>Fernanda Alves</v>
      </c>
      <c r="J5" s="2" t="str">
        <f>IFERROR(VLOOKUP(tb_vendas[[#This Row],[ID_Colaborador]],tb_colaboradores[[ID_Colaborador]:[Nome]],2,FALSE),"Não encontrado")</f>
        <v>Fernanda Alves</v>
      </c>
    </row>
    <row r="6" spans="1:10" x14ac:dyDescent="0.25">
      <c r="A6">
        <v>1005</v>
      </c>
      <c r="B6" s="1">
        <v>45666</v>
      </c>
      <c r="C6">
        <v>9</v>
      </c>
      <c r="D6" t="s">
        <v>54</v>
      </c>
      <c r="E6" t="s">
        <v>55</v>
      </c>
      <c r="F6">
        <v>1</v>
      </c>
      <c r="G6">
        <v>2500</v>
      </c>
      <c r="H6">
        <f>tb_vendas[[#This Row],[Valor_Unitario]]*tb_vendas[[#This Row],[Quantidade]]</f>
        <v>2500</v>
      </c>
      <c r="I6" s="2" t="str">
        <f>IFERROR(_xlfn.XLOOKUP(tb_vendas[[#This Row],[ID_Colaborador]],tb_colaboradores[ID_Colaborador],tb_colaboradores[Nome]),"Não encontrado")</f>
        <v>Igor Martins</v>
      </c>
      <c r="J6" s="2" t="str">
        <f>IFERROR(VLOOKUP(tb_vendas[[#This Row],[ID_Colaborador]],tb_colaboradores[[ID_Colaborador]:[Nome]],2,FALSE),"Não encontrado")</f>
        <v>Igor Martins</v>
      </c>
    </row>
    <row r="7" spans="1:10" x14ac:dyDescent="0.25">
      <c r="A7">
        <v>1006</v>
      </c>
      <c r="B7" s="1">
        <v>45667</v>
      </c>
      <c r="C7">
        <v>11</v>
      </c>
      <c r="D7" t="s">
        <v>56</v>
      </c>
      <c r="E7" t="s">
        <v>57</v>
      </c>
      <c r="F7">
        <v>1</v>
      </c>
      <c r="G7">
        <v>800</v>
      </c>
      <c r="H7">
        <f>tb_vendas[[#This Row],[Valor_Unitario]]*tb_vendas[[#This Row],[Quantidade]]</f>
        <v>800</v>
      </c>
      <c r="I7" s="2" t="str">
        <f>IFERROR(_xlfn.XLOOKUP(tb_vendas[[#This Row],[ID_Colaborador]],tb_colaboradores[ID_Colaborador],tb_colaboradores[Nome]),"Não encontrado")</f>
        <v>Kleber Rocha</v>
      </c>
      <c r="J7" s="2" t="str">
        <f>IFERROR(VLOOKUP(tb_vendas[[#This Row],[ID_Colaborador]],tb_colaboradores[[ID_Colaborador]:[Nome]],2,FALSE),"Não encontrado")</f>
        <v>Kleber Rocha</v>
      </c>
    </row>
    <row r="8" spans="1:10" x14ac:dyDescent="0.25">
      <c r="A8">
        <v>1007</v>
      </c>
      <c r="B8" s="1">
        <v>45668</v>
      </c>
      <c r="C8">
        <v>14</v>
      </c>
      <c r="D8" t="s">
        <v>58</v>
      </c>
      <c r="E8" t="s">
        <v>48</v>
      </c>
      <c r="F8">
        <v>4</v>
      </c>
      <c r="G8">
        <v>100</v>
      </c>
      <c r="H8">
        <f>tb_vendas[[#This Row],[Valor_Unitario]]*tb_vendas[[#This Row],[Quantidade]]</f>
        <v>400</v>
      </c>
      <c r="I8" s="2" t="str">
        <f>IFERROR(_xlfn.XLOOKUP(tb_vendas[[#This Row],[ID_Colaborador]],tb_colaboradores[ID_Colaborador],tb_colaboradores[Nome]),"Não encontrado")</f>
        <v>Natalia Barros</v>
      </c>
      <c r="J8" s="2" t="str">
        <f>IFERROR(VLOOKUP(tb_vendas[[#This Row],[ID_Colaborador]],tb_colaboradores[[ID_Colaborador]:[Nome]],2,FALSE),"Não encontrado")</f>
        <v>Natalia Barros</v>
      </c>
    </row>
    <row r="9" spans="1:10" x14ac:dyDescent="0.25">
      <c r="A9">
        <v>1008</v>
      </c>
      <c r="B9" s="1">
        <v>45669</v>
      </c>
      <c r="C9">
        <v>16</v>
      </c>
      <c r="D9" t="s">
        <v>59</v>
      </c>
      <c r="E9" t="s">
        <v>48</v>
      </c>
      <c r="F9">
        <v>2</v>
      </c>
      <c r="G9">
        <v>220</v>
      </c>
      <c r="H9">
        <f>tb_vendas[[#This Row],[Valor_Unitario]]*tb_vendas[[#This Row],[Quantidade]]</f>
        <v>440</v>
      </c>
      <c r="I9" s="2" t="str">
        <f>IFERROR(_xlfn.XLOOKUP(tb_vendas[[#This Row],[ID_Colaborador]],tb_colaboradores[ID_Colaborador],tb_colaboradores[Nome]),"Não encontrado")</f>
        <v>Patricia Lima</v>
      </c>
      <c r="J9" s="2" t="str">
        <f>IFERROR(VLOOKUP(tb_vendas[[#This Row],[ID_Colaborador]],tb_colaboradores[[ID_Colaborador]:[Nome]],2,FALSE),"Não encontrado")</f>
        <v>Patricia Lima</v>
      </c>
    </row>
    <row r="10" spans="1:10" x14ac:dyDescent="0.25">
      <c r="A10">
        <v>1009</v>
      </c>
      <c r="B10" s="1">
        <v>45670</v>
      </c>
      <c r="C10">
        <v>1</v>
      </c>
      <c r="D10" t="s">
        <v>60</v>
      </c>
      <c r="E10" t="s">
        <v>53</v>
      </c>
      <c r="F10">
        <v>1</v>
      </c>
      <c r="G10">
        <v>180</v>
      </c>
      <c r="H10">
        <f>tb_vendas[[#This Row],[Valor_Unitario]]*tb_vendas[[#This Row],[Quantidade]]</f>
        <v>180</v>
      </c>
      <c r="I10" s="2" t="str">
        <f>IFERROR(_xlfn.XLOOKUP(tb_vendas[[#This Row],[ID_Colaborador]],tb_colaboradores[ID_Colaborador],tb_colaboradores[Nome]),"Não encontrado")</f>
        <v>Ana Silva</v>
      </c>
      <c r="J10" s="2" t="str">
        <f>IFERROR(VLOOKUP(tb_vendas[[#This Row],[ID_Colaborador]],tb_colaboradores[[ID_Colaborador]:[Nome]],2,FALSE),"Não encontrado")</f>
        <v>Ana Silva</v>
      </c>
    </row>
    <row r="11" spans="1:10" x14ac:dyDescent="0.25">
      <c r="A11">
        <v>1010</v>
      </c>
      <c r="B11" s="1">
        <v>45671</v>
      </c>
      <c r="C11">
        <v>2</v>
      </c>
      <c r="D11" t="s">
        <v>61</v>
      </c>
      <c r="E11" t="s">
        <v>51</v>
      </c>
      <c r="F11">
        <v>1</v>
      </c>
      <c r="G11">
        <v>1200</v>
      </c>
      <c r="H11">
        <f>tb_vendas[[#This Row],[Valor_Unitario]]*tb_vendas[[#This Row],[Quantidade]]</f>
        <v>1200</v>
      </c>
      <c r="I11" s="2" t="str">
        <f>IFERROR(_xlfn.XLOOKUP(tb_vendas[[#This Row],[ID_Colaborador]],tb_colaboradores[ID_Colaborador],tb_colaboradores[Nome]),"Não encontrado")</f>
        <v>Bruno Souza</v>
      </c>
      <c r="J11" s="2" t="str">
        <f>IFERROR(VLOOKUP(tb_vendas[[#This Row],[ID_Colaborador]],tb_colaboradores[[ID_Colaborador]:[Nome]],2,FALSE),"Não encontrado")</f>
        <v>Bruno Souza</v>
      </c>
    </row>
    <row r="12" spans="1:10" x14ac:dyDescent="0.25">
      <c r="A12">
        <v>1011</v>
      </c>
      <c r="B12" s="1">
        <v>45672</v>
      </c>
      <c r="C12">
        <v>4</v>
      </c>
      <c r="D12" t="s">
        <v>62</v>
      </c>
      <c r="E12" t="s">
        <v>63</v>
      </c>
      <c r="F12">
        <v>2</v>
      </c>
      <c r="G12">
        <v>300</v>
      </c>
      <c r="H12">
        <f>tb_vendas[[#This Row],[Valor_Unitario]]*tb_vendas[[#This Row],[Quantidade]]</f>
        <v>600</v>
      </c>
      <c r="I12" s="2" t="str">
        <f>IFERROR(_xlfn.XLOOKUP(tb_vendas[[#This Row],[ID_Colaborador]],tb_colaboradores[ID_Colaborador],tb_colaboradores[Nome]),"Não encontrado")</f>
        <v>Daniela Rocha</v>
      </c>
      <c r="J12" s="2" t="str">
        <f>IFERROR(VLOOKUP(tb_vendas[[#This Row],[ID_Colaborador]],tb_colaboradores[[ID_Colaborador]:[Nome]],2,FALSE),"Não encontrado")</f>
        <v>Daniela Rocha</v>
      </c>
    </row>
    <row r="13" spans="1:10" x14ac:dyDescent="0.25">
      <c r="A13">
        <v>1012</v>
      </c>
      <c r="B13" s="1">
        <v>45673</v>
      </c>
      <c r="C13">
        <v>6</v>
      </c>
      <c r="D13" t="s">
        <v>64</v>
      </c>
      <c r="E13" t="s">
        <v>63</v>
      </c>
      <c r="F13">
        <v>1</v>
      </c>
      <c r="G13">
        <v>350</v>
      </c>
      <c r="H13">
        <f>tb_vendas[[#This Row],[Valor_Unitario]]*tb_vendas[[#This Row],[Quantidade]]</f>
        <v>350</v>
      </c>
      <c r="I13" s="2" t="str">
        <f>IFERROR(_xlfn.XLOOKUP(tb_vendas[[#This Row],[ID_Colaborador]],tb_colaboradores[ID_Colaborador],tb_colaboradores[Nome]),"Não encontrado")</f>
        <v>Fernanda Alves</v>
      </c>
      <c r="J13" s="2" t="str">
        <f>IFERROR(VLOOKUP(tb_vendas[[#This Row],[ID_Colaborador]],tb_colaboradores[[ID_Colaborador]:[Nome]],2,FALSE),"Não encontrado")</f>
        <v>Fernanda Alves</v>
      </c>
    </row>
    <row r="14" spans="1:10" x14ac:dyDescent="0.25">
      <c r="A14">
        <v>1013</v>
      </c>
      <c r="B14" s="1">
        <v>45674</v>
      </c>
      <c r="C14">
        <v>9</v>
      </c>
      <c r="D14" t="s">
        <v>65</v>
      </c>
      <c r="E14" t="s">
        <v>55</v>
      </c>
      <c r="F14">
        <v>1</v>
      </c>
      <c r="G14">
        <v>3200</v>
      </c>
      <c r="H14">
        <f>tb_vendas[[#This Row],[Valor_Unitario]]*tb_vendas[[#This Row],[Quantidade]]</f>
        <v>3200</v>
      </c>
      <c r="I14" s="2" t="str">
        <f>IFERROR(_xlfn.XLOOKUP(tb_vendas[[#This Row],[ID_Colaborador]],tb_colaboradores[ID_Colaborador],tb_colaboradores[Nome]),"Não encontrado")</f>
        <v>Igor Martins</v>
      </c>
      <c r="J14" s="2" t="str">
        <f>IFERROR(VLOOKUP(tb_vendas[[#This Row],[ID_Colaborador]],tb_colaboradores[[ID_Colaborador]:[Nome]],2,FALSE),"Não encontrado")</f>
        <v>Igor Martins</v>
      </c>
    </row>
    <row r="15" spans="1:10" x14ac:dyDescent="0.25">
      <c r="A15">
        <v>1014</v>
      </c>
      <c r="B15" s="1">
        <v>45675</v>
      </c>
      <c r="C15">
        <v>11</v>
      </c>
      <c r="D15" t="s">
        <v>66</v>
      </c>
      <c r="E15" t="s">
        <v>48</v>
      </c>
      <c r="F15">
        <v>5</v>
      </c>
      <c r="G15">
        <v>40</v>
      </c>
      <c r="H15">
        <f>tb_vendas[[#This Row],[Valor_Unitario]]*tb_vendas[[#This Row],[Quantidade]]</f>
        <v>200</v>
      </c>
      <c r="I15" s="2" t="str">
        <f>IFERROR(_xlfn.XLOOKUP(tb_vendas[[#This Row],[ID_Colaborador]],tb_colaboradores[ID_Colaborador],tb_colaboradores[Nome]),"Não encontrado")</f>
        <v>Kleber Rocha</v>
      </c>
      <c r="J15" s="2" t="str">
        <f>IFERROR(VLOOKUP(tb_vendas[[#This Row],[ID_Colaborador]],tb_colaboradores[[ID_Colaborador]:[Nome]],2,FALSE),"Não encontrado")</f>
        <v>Kleber Rocha</v>
      </c>
    </row>
    <row r="16" spans="1:10" x14ac:dyDescent="0.25">
      <c r="A16">
        <v>1015</v>
      </c>
      <c r="B16" s="1">
        <v>45676</v>
      </c>
      <c r="C16">
        <v>14</v>
      </c>
      <c r="D16" t="s">
        <v>67</v>
      </c>
      <c r="E16" t="s">
        <v>51</v>
      </c>
      <c r="F16">
        <v>2</v>
      </c>
      <c r="G16">
        <v>200</v>
      </c>
      <c r="H16">
        <f>tb_vendas[[#This Row],[Valor_Unitario]]*tb_vendas[[#This Row],[Quantidade]]</f>
        <v>400</v>
      </c>
      <c r="I16" s="2" t="str">
        <f>IFERROR(_xlfn.XLOOKUP(tb_vendas[[#This Row],[ID_Colaborador]],tb_colaboradores[ID_Colaborador],tb_colaboradores[Nome]),"Não encontrado")</f>
        <v>Natalia Barros</v>
      </c>
      <c r="J16" s="2" t="str">
        <f>IFERROR(VLOOKUP(tb_vendas[[#This Row],[ID_Colaborador]],tb_colaboradores[[ID_Colaborador]:[Nome]],2,FALSE),"Não encontrado")</f>
        <v>Natalia Barros</v>
      </c>
    </row>
    <row r="17" spans="1:10" x14ac:dyDescent="0.25">
      <c r="A17">
        <v>1016</v>
      </c>
      <c r="B17" s="1">
        <v>45677</v>
      </c>
      <c r="C17">
        <v>16</v>
      </c>
      <c r="D17" t="s">
        <v>68</v>
      </c>
      <c r="E17" t="s">
        <v>48</v>
      </c>
      <c r="F17">
        <v>3</v>
      </c>
      <c r="G17">
        <v>90</v>
      </c>
      <c r="H17">
        <f>tb_vendas[[#This Row],[Valor_Unitario]]*tb_vendas[[#This Row],[Quantidade]]</f>
        <v>270</v>
      </c>
      <c r="I17" s="2" t="str">
        <f>IFERROR(_xlfn.XLOOKUP(tb_vendas[[#This Row],[ID_Colaborador]],tb_colaboradores[ID_Colaborador],tb_colaboradores[Nome]),"Não encontrado")</f>
        <v>Patricia Lima</v>
      </c>
      <c r="J17" s="2" t="str">
        <f>IFERROR(VLOOKUP(tb_vendas[[#This Row],[ID_Colaborador]],tb_colaboradores[[ID_Colaborador]:[Nome]],2,FALSE),"Não encontrado")</f>
        <v>Patricia Lima</v>
      </c>
    </row>
    <row r="18" spans="1:10" x14ac:dyDescent="0.25">
      <c r="A18">
        <v>1017</v>
      </c>
      <c r="B18" s="1">
        <v>45678</v>
      </c>
      <c r="C18">
        <v>19</v>
      </c>
      <c r="D18" t="s">
        <v>69</v>
      </c>
      <c r="E18" t="s">
        <v>51</v>
      </c>
      <c r="F18">
        <v>1</v>
      </c>
      <c r="G18">
        <v>600</v>
      </c>
      <c r="H18">
        <f>tb_vendas[[#This Row],[Valor_Unitario]]*tb_vendas[[#This Row],[Quantidade]]</f>
        <v>600</v>
      </c>
      <c r="I18" s="2" t="str">
        <f>IFERROR(_xlfn.XLOOKUP(tb_vendas[[#This Row],[ID_Colaborador]],tb_colaboradores[ID_Colaborador],tb_colaboradores[Nome]),"Não encontrado")</f>
        <v>Samuel Dias</v>
      </c>
      <c r="J18" s="2" t="str">
        <f>IFERROR(VLOOKUP(tb_vendas[[#This Row],[ID_Colaborador]],tb_colaboradores[[ID_Colaborador]:[Nome]],2,FALSE),"Não encontrado")</f>
        <v>Samuel Dias</v>
      </c>
    </row>
    <row r="19" spans="1:10" x14ac:dyDescent="0.25">
      <c r="A19">
        <v>1018</v>
      </c>
      <c r="B19" s="1">
        <v>45679</v>
      </c>
      <c r="C19">
        <v>1</v>
      </c>
      <c r="D19" t="s">
        <v>70</v>
      </c>
      <c r="E19" t="s">
        <v>53</v>
      </c>
      <c r="F19">
        <v>1</v>
      </c>
      <c r="G19">
        <v>250</v>
      </c>
      <c r="H19">
        <f>tb_vendas[[#This Row],[Valor_Unitario]]*tb_vendas[[#This Row],[Quantidade]]</f>
        <v>250</v>
      </c>
      <c r="I19" s="2" t="str">
        <f>IFERROR(_xlfn.XLOOKUP(tb_vendas[[#This Row],[ID_Colaborador]],tb_colaboradores[ID_Colaborador],tb_colaboradores[Nome]),"Não encontrado")</f>
        <v>Ana Silva</v>
      </c>
      <c r="J19" s="2" t="str">
        <f>IFERROR(VLOOKUP(tb_vendas[[#This Row],[ID_Colaborador]],tb_colaboradores[[ID_Colaborador]:[Nome]],2,FALSE),"Não encontrado")</f>
        <v>Ana Silva</v>
      </c>
    </row>
    <row r="20" spans="1:10" x14ac:dyDescent="0.25">
      <c r="A20">
        <v>1019</v>
      </c>
      <c r="B20" s="1">
        <v>45680</v>
      </c>
      <c r="C20">
        <v>6</v>
      </c>
      <c r="D20" t="s">
        <v>71</v>
      </c>
      <c r="E20" t="s">
        <v>48</v>
      </c>
      <c r="F20">
        <v>6</v>
      </c>
      <c r="G20">
        <v>30</v>
      </c>
      <c r="H20">
        <f>tb_vendas[[#This Row],[Valor_Unitario]]*tb_vendas[[#This Row],[Quantidade]]</f>
        <v>180</v>
      </c>
      <c r="I20" s="2" t="str">
        <f>IFERROR(_xlfn.XLOOKUP(tb_vendas[[#This Row],[ID_Colaborador]],tb_colaboradores[ID_Colaborador],tb_colaboradores[Nome]),"Não encontrado")</f>
        <v>Fernanda Alves</v>
      </c>
      <c r="J20" s="2" t="str">
        <f>IFERROR(VLOOKUP(tb_vendas[[#This Row],[ID_Colaborador]],tb_colaboradores[[ID_Colaborador]:[Nome]],2,FALSE),"Não encontrado")</f>
        <v>Fernanda Alves</v>
      </c>
    </row>
    <row r="21" spans="1:10" x14ac:dyDescent="0.25">
      <c r="A21">
        <v>1020</v>
      </c>
      <c r="B21" s="1">
        <v>45681</v>
      </c>
      <c r="C21">
        <v>9</v>
      </c>
      <c r="D21" t="s">
        <v>72</v>
      </c>
      <c r="E21" t="s">
        <v>55</v>
      </c>
      <c r="F21">
        <v>1</v>
      </c>
      <c r="G21">
        <v>4500</v>
      </c>
      <c r="H21">
        <f>tb_vendas[[#This Row],[Valor_Unitario]]*tb_vendas[[#This Row],[Quantidade]]</f>
        <v>4500</v>
      </c>
      <c r="I21" s="2" t="str">
        <f>IFERROR(_xlfn.XLOOKUP(tb_vendas[[#This Row],[ID_Colaborador]],tb_colaboradores[ID_Colaborador],tb_colaboradores[Nome]),"Não encontrado")</f>
        <v>Igor Martins</v>
      </c>
      <c r="J21" s="2" t="str">
        <f>IFERROR(VLOOKUP(tb_vendas[[#This Row],[ID_Colaborador]],tb_colaboradores[[ID_Colaborador]:[Nome]],2,FALSE),"Não encontrado")</f>
        <v>Igor Martins</v>
      </c>
    </row>
    <row r="22" spans="1:10" x14ac:dyDescent="0.25">
      <c r="A22">
        <v>1021</v>
      </c>
      <c r="B22" s="1">
        <v>45682</v>
      </c>
      <c r="C22">
        <v>14</v>
      </c>
      <c r="D22" t="s">
        <v>49</v>
      </c>
      <c r="E22" t="s">
        <v>48</v>
      </c>
      <c r="F22">
        <v>4</v>
      </c>
      <c r="G22">
        <v>80</v>
      </c>
      <c r="H22">
        <f>tb_vendas[[#This Row],[Valor_Unitario]]*tb_vendas[[#This Row],[Quantidade]]</f>
        <v>320</v>
      </c>
      <c r="I22" s="2" t="str">
        <f>IFERROR(_xlfn.XLOOKUP(tb_vendas[[#This Row],[ID_Colaborador]],tb_colaboradores[ID_Colaborador],tb_colaboradores[Nome]),"Não encontrado")</f>
        <v>Natalia Barros</v>
      </c>
      <c r="J22" s="2" t="str">
        <f>IFERROR(VLOOKUP(tb_vendas[[#This Row],[ID_Colaborador]],tb_colaboradores[[ID_Colaborador]:[Nome]],2,FALSE),"Não encontrado")</f>
        <v>Natalia Barros</v>
      </c>
    </row>
    <row r="23" spans="1:10" x14ac:dyDescent="0.25">
      <c r="A23">
        <v>1022</v>
      </c>
      <c r="B23" s="1">
        <v>45683</v>
      </c>
      <c r="C23">
        <v>11</v>
      </c>
      <c r="D23" t="s">
        <v>73</v>
      </c>
      <c r="E23" t="s">
        <v>51</v>
      </c>
      <c r="F23">
        <v>1</v>
      </c>
      <c r="G23">
        <v>1500</v>
      </c>
      <c r="H23">
        <f>tb_vendas[[#This Row],[Valor_Unitario]]*tb_vendas[[#This Row],[Quantidade]]</f>
        <v>1500</v>
      </c>
      <c r="I23" s="2" t="str">
        <f>IFERROR(_xlfn.XLOOKUP(tb_vendas[[#This Row],[ID_Colaborador]],tb_colaboradores[ID_Colaborador],tb_colaboradores[Nome]),"Não encontrado")</f>
        <v>Kleber Rocha</v>
      </c>
      <c r="J23" s="2" t="str">
        <f>IFERROR(VLOOKUP(tb_vendas[[#This Row],[ID_Colaborador]],tb_colaboradores[[ID_Colaborador]:[Nome]],2,FALSE),"Não encontrado")</f>
        <v>Kleber Rocha</v>
      </c>
    </row>
    <row r="24" spans="1:10" x14ac:dyDescent="0.25">
      <c r="A24">
        <v>1023</v>
      </c>
      <c r="B24" s="1">
        <v>45684</v>
      </c>
      <c r="C24">
        <v>2</v>
      </c>
      <c r="D24" t="s">
        <v>74</v>
      </c>
      <c r="E24" t="s">
        <v>53</v>
      </c>
      <c r="F24">
        <v>2</v>
      </c>
      <c r="G24">
        <v>200</v>
      </c>
      <c r="H24">
        <f>tb_vendas[[#This Row],[Valor_Unitario]]*tb_vendas[[#This Row],[Quantidade]]</f>
        <v>400</v>
      </c>
      <c r="I24" s="2" t="str">
        <f>IFERROR(_xlfn.XLOOKUP(tb_vendas[[#This Row],[ID_Colaborador]],tb_colaboradores[ID_Colaborador],tb_colaboradores[Nome]),"Não encontrado")</f>
        <v>Bruno Souza</v>
      </c>
      <c r="J24" s="2" t="str">
        <f>IFERROR(VLOOKUP(tb_vendas[[#This Row],[ID_Colaborador]],tb_colaboradores[[ID_Colaborador]:[Nome]],2,FALSE),"Não encontrado")</f>
        <v>Bruno Souza</v>
      </c>
    </row>
    <row r="25" spans="1:10" x14ac:dyDescent="0.25">
      <c r="A25">
        <v>1024</v>
      </c>
      <c r="B25" s="1">
        <v>45685</v>
      </c>
      <c r="C25">
        <v>16</v>
      </c>
      <c r="D25" t="s">
        <v>75</v>
      </c>
      <c r="E25" t="s">
        <v>48</v>
      </c>
      <c r="F25">
        <v>2</v>
      </c>
      <c r="G25">
        <v>180</v>
      </c>
      <c r="H25">
        <f>tb_vendas[[#This Row],[Valor_Unitario]]*tb_vendas[[#This Row],[Quantidade]]</f>
        <v>360</v>
      </c>
      <c r="I25" s="2" t="str">
        <f>IFERROR(_xlfn.XLOOKUP(tb_vendas[[#This Row],[ID_Colaborador]],tb_colaboradores[ID_Colaborador],tb_colaboradores[Nome]),"Não encontrado")</f>
        <v>Patricia Lima</v>
      </c>
      <c r="J25" s="2" t="str">
        <f>IFERROR(VLOOKUP(tb_vendas[[#This Row],[ID_Colaborador]],tb_colaboradores[[ID_Colaborador]:[Nome]],2,FALSE),"Não encontrado")</f>
        <v>Patricia Lima</v>
      </c>
    </row>
    <row r="26" spans="1:10" x14ac:dyDescent="0.25">
      <c r="A26">
        <v>1025</v>
      </c>
      <c r="B26" s="1">
        <v>45686</v>
      </c>
      <c r="C26">
        <v>4</v>
      </c>
      <c r="D26" t="s">
        <v>76</v>
      </c>
      <c r="E26" t="s">
        <v>63</v>
      </c>
      <c r="F26">
        <v>1</v>
      </c>
      <c r="G26">
        <v>600</v>
      </c>
      <c r="H26">
        <f>tb_vendas[[#This Row],[Valor_Unitario]]*tb_vendas[[#This Row],[Quantidade]]</f>
        <v>600</v>
      </c>
      <c r="I26" s="2" t="str">
        <f>IFERROR(_xlfn.XLOOKUP(tb_vendas[[#This Row],[ID_Colaborador]],tb_colaboradores[ID_Colaborador],tb_colaboradores[Nome]),"Não encontrado")</f>
        <v>Daniela Rocha</v>
      </c>
      <c r="J26" s="2" t="str">
        <f>IFERROR(VLOOKUP(tb_vendas[[#This Row],[ID_Colaborador]],tb_colaboradores[[ID_Colaborador]:[Nome]],2,FALSE),"Não encontrado")</f>
        <v>Daniela Rocha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Colaboradores</vt:lpstr>
      <vt:lpstr>Dashboard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Jadilson Tavares</dc:creator>
  <cp:lastModifiedBy>Jadilson Tavares</cp:lastModifiedBy>
  <dcterms:created xsi:type="dcterms:W3CDTF">2026-04-29T17:45:10Z</dcterms:created>
  <dcterms:modified xsi:type="dcterms:W3CDTF">2026-04-29T20:56:23Z</dcterms:modified>
</cp:coreProperties>
</file>